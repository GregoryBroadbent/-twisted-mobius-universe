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_n check" sheetId="1" state="visible" r:id="rId1"/>
    <sheet xmlns:r="http://schemas.openxmlformats.org/officeDocument/2006/relationships" name="W0 check" sheetId="2" state="visible" r:id="rId2"/>
    <sheet xmlns:r="http://schemas.openxmlformats.org/officeDocument/2006/relationships" name="Candidate tes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Hadamard V_n on de Sitter (H = 1): symbolic recursion vs numerical fit</t>
        </is>
      </c>
    </row>
    <row r="3">
      <c r="A3" s="2" t="inlineStr">
        <is>
          <t>m²/H²</t>
        </is>
      </c>
      <c r="B3" s="2" t="inlineStr">
        <is>
          <t>V0 predicted</t>
        </is>
      </c>
      <c r="C3" s="2" t="inlineStr">
        <is>
          <t>V0 numeric</t>
        </is>
      </c>
      <c r="D3" s="2" t="inlineStr">
        <is>
          <t>V0 diff</t>
        </is>
      </c>
      <c r="E3" s="2" t="inlineStr">
        <is>
          <t>V1 predicted</t>
        </is>
      </c>
      <c r="F3" s="2" t="inlineStr">
        <is>
          <t>V1 numeric</t>
        </is>
      </c>
      <c r="G3" s="2" t="inlineStr">
        <is>
          <t>V1 diff</t>
        </is>
      </c>
      <c r="H3" s="2" t="inlineStr">
        <is>
          <t>V2 predicted</t>
        </is>
      </c>
      <c r="I3" s="2" t="inlineStr">
        <is>
          <t>V2 numeric</t>
        </is>
      </c>
      <c r="J3" s="2" t="inlineStr">
        <is>
          <t>V2 diff</t>
        </is>
      </c>
    </row>
    <row r="4">
      <c r="A4" t="n">
        <v>0.3</v>
      </c>
      <c r="B4" s="3">
        <f>(A4-2)/2</f>
        <v/>
      </c>
      <c r="C4" s="3" t="n">
        <v>-0.85</v>
      </c>
      <c r="D4" s="3">
        <f>ABS(C4-B4)</f>
        <v/>
      </c>
      <c r="E4" s="3">
        <f>A4*(A4-2)/8</f>
        <v/>
      </c>
      <c r="F4" s="3" t="n">
        <v>-0.06375</v>
      </c>
      <c r="G4" s="3">
        <f>ABS(F4-E4)</f>
        <v/>
      </c>
      <c r="H4" s="3">
        <f>A4*(A4-2)*(A4+2)/96</f>
        <v/>
      </c>
      <c r="I4" s="3" t="n">
        <v>-0.0122187500006</v>
      </c>
      <c r="J4" s="3">
        <f>ABS(I4-H4)</f>
        <v/>
      </c>
    </row>
    <row r="5">
      <c r="A5" t="n">
        <v>1</v>
      </c>
      <c r="B5" s="3">
        <f>(A5-2)/2</f>
        <v/>
      </c>
      <c r="C5" s="3" t="n">
        <v>-0.5</v>
      </c>
      <c r="D5" s="3">
        <f>ABS(C5-B5)</f>
        <v/>
      </c>
      <c r="E5" s="3">
        <f>A5*(A5-2)/8</f>
        <v/>
      </c>
      <c r="F5" s="3" t="n">
        <v>-0.125</v>
      </c>
      <c r="G5" s="3">
        <f>ABS(F5-E5)</f>
        <v/>
      </c>
      <c r="H5" s="3">
        <f>A5*(A5-2)*(A5+2)/96</f>
        <v/>
      </c>
      <c r="I5" s="3" t="n">
        <v>-0.0312499999924</v>
      </c>
      <c r="J5" s="3">
        <f>ABS(I5-H5)</f>
        <v/>
      </c>
    </row>
    <row r="6">
      <c r="A6" t="n">
        <v>3</v>
      </c>
      <c r="B6" s="3">
        <f>(A6-2)/2</f>
        <v/>
      </c>
      <c r="C6" s="3" t="n">
        <v>0.5</v>
      </c>
      <c r="D6" s="3">
        <f>ABS(C6-B6)</f>
        <v/>
      </c>
      <c r="E6" s="3">
        <f>A6*(A6-2)/8</f>
        <v/>
      </c>
      <c r="F6" s="3" t="n">
        <v>0.375</v>
      </c>
      <c r="G6" s="3">
        <f>ABS(F6-E6)</f>
        <v/>
      </c>
      <c r="H6" s="3">
        <f>A6*(A6-2)*(A6+2)/96</f>
        <v/>
      </c>
      <c r="I6" s="3" t="n">
        <v>0.156249999899</v>
      </c>
      <c r="J6" s="3">
        <f>ABS(I6-H6)</f>
        <v/>
      </c>
    </row>
    <row r="7">
      <c r="A7" t="n">
        <v>4</v>
      </c>
      <c r="B7" s="3">
        <f>(A7-2)/2</f>
        <v/>
      </c>
      <c r="C7" s="3" t="n">
        <v>1</v>
      </c>
      <c r="D7" s="3">
        <f>ABS(C7-B7)</f>
        <v/>
      </c>
      <c r="E7" s="3">
        <f>A7*(A7-2)/8</f>
        <v/>
      </c>
      <c r="F7" s="3" t="n">
        <v>1</v>
      </c>
      <c r="G7" s="3">
        <f>ABS(F7-E7)</f>
        <v/>
      </c>
      <c r="H7" s="3">
        <f>A7*(A7-2)*(A7+2)/96</f>
        <v/>
      </c>
      <c r="I7" s="3" t="n">
        <v>0.499999999611</v>
      </c>
      <c r="J7" s="3">
        <f>ABS(I7-H7)</f>
        <v/>
      </c>
    </row>
    <row r="9">
      <c r="A9" t="inlineStr">
        <is>
          <t>Predicted columns are formulas in m². Numeric values from check_Vn.py (120-digit least-squares fit).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W0 on de Sitter (H = 1): numeric vs closed form (constant fixed by antipodal regularity)</t>
        </is>
      </c>
    </row>
    <row r="3">
      <c r="A3" s="2" t="inlineStr">
        <is>
          <t>m²/H²</t>
        </is>
      </c>
      <c r="B3" s="2" t="inlineStr">
        <is>
          <t>h± type</t>
        </is>
      </c>
      <c r="C3" s="2" t="inlineStr">
        <is>
          <t>ψ(h+)+ψ(h-)</t>
        </is>
      </c>
      <c r="D3" s="2" t="inlineStr">
        <is>
          <t>W0 numeric</t>
        </is>
      </c>
      <c r="E3" s="2" t="inlineStr">
        <is>
          <t>W0 closed form</t>
        </is>
      </c>
      <c r="F3" s="2" t="inlineStr">
        <is>
          <t>diff</t>
        </is>
      </c>
    </row>
    <row r="4">
      <c r="A4" t="n">
        <v>0.3</v>
      </c>
      <c r="B4" t="inlineStr">
        <is>
          <t>real</t>
        </is>
      </c>
      <c r="C4" s="3" t="n">
        <v>-9.192358738774892</v>
      </c>
      <c r="D4" s="3" t="n">
        <v>7.93808006776867</v>
      </c>
      <c r="E4" s="3" t="n">
        <v>7.938080067768674</v>
      </c>
      <c r="F4" s="3">
        <f>ABS(E4-D4)</f>
        <v/>
      </c>
    </row>
    <row r="5">
      <c r="A5" t="n">
        <v>0.5</v>
      </c>
      <c r="B5" t="inlineStr">
        <is>
          <t>real</t>
        </is>
      </c>
      <c r="C5" s="3" t="n">
        <v>-5.113878283030708</v>
      </c>
      <c r="D5" s="3" t="n">
        <v>3.90611226700736</v>
      </c>
      <c r="E5" s="3" t="n">
        <v>3.906112267007357</v>
      </c>
      <c r="F5" s="3">
        <f>ABS(E5-D5)</f>
        <v/>
      </c>
    </row>
    <row r="6">
      <c r="A6" t="n">
        <v>1</v>
      </c>
      <c r="B6" t="inlineStr">
        <is>
          <t>real</t>
        </is>
      </c>
      <c r="C6" s="3" t="n">
        <v>-1.938623390328882</v>
      </c>
      <c r="D6" s="3" t="n">
        <v>0.905336287209548</v>
      </c>
      <c r="E6" s="3" t="n">
        <v>0.9053362872095476</v>
      </c>
      <c r="F6" s="3">
        <f>ABS(E6-D6)</f>
        <v/>
      </c>
    </row>
    <row r="7">
      <c r="A7" t="n">
        <v>2</v>
      </c>
      <c r="B7" t="inlineStr">
        <is>
          <t>real</t>
        </is>
      </c>
      <c r="C7" s="3" t="n">
        <v>-0.1544313298030657</v>
      </c>
      <c r="D7" s="3" t="n">
        <v>-0.333333333333333</v>
      </c>
      <c r="E7" s="3" t="n">
        <v>-0.3333333333333333</v>
      </c>
      <c r="F7" s="3">
        <f>ABS(E7-D7)</f>
        <v/>
      </c>
    </row>
    <row r="8">
      <c r="A8" t="n">
        <v>3</v>
      </c>
      <c r="B8" t="inlineStr">
        <is>
          <t>complex pair</t>
        </is>
      </c>
      <c r="C8" s="3" t="n">
        <v>0.5701468825406071</v>
      </c>
      <c r="D8" s="3" t="n">
        <v>-0.317617817441</v>
      </c>
      <c r="E8" s="3" t="n">
        <v>-0.3176178174414696</v>
      </c>
      <c r="F8" s="3">
        <f>ABS(E8-D8)</f>
        <v/>
      </c>
    </row>
    <row r="9">
      <c r="A9" t="n">
        <v>4</v>
      </c>
      <c r="B9" t="inlineStr">
        <is>
          <t>complex pair</t>
        </is>
      </c>
      <c r="C9" s="3" t="n">
        <v>1.005140827044301</v>
      </c>
      <c r="D9" s="3" t="n">
        <v>0.133091642954088</v>
      </c>
      <c r="E9" s="3" t="n">
        <v>0.1330916429540882</v>
      </c>
      <c r="F9" s="3">
        <f>ABS(E9-D9)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34" customWidth="1" min="4" max="4"/>
    <col width="38" customWidth="1" min="5" max="5"/>
    <col width="22" customWidth="1" min="6" max="6"/>
  </cols>
  <sheetData>
    <row r="1">
      <c r="A1" s="1" t="inlineStr">
        <is>
          <t>Kernel candidates: R2 (positivity) and R3 (coincidence) status</t>
        </is>
      </c>
    </row>
    <row r="3">
      <c r="A3" s="2" t="inlineStr">
        <is>
          <t>Candidate</t>
        </is>
      </c>
      <c r="B3" s="2" t="inlineStr">
        <is>
          <t>R2 positivity</t>
        </is>
      </c>
      <c r="C3" s="2" t="inlineStr">
        <is>
          <t>R3 as originally written</t>
        </is>
      </c>
      <c r="D3" s="2" t="inlineStr">
        <is>
          <t>Reworded R3 (coincidence local)</t>
        </is>
      </c>
      <c r="E3" s="2" t="inlineStr">
        <is>
          <t>Key numbers</t>
        </is>
      </c>
      <c r="F3" s="2" t="inlineStr">
        <is>
          <t>Status</t>
        </is>
      </c>
    </row>
    <row r="4">
      <c r="A4" s="4" t="inlineStr">
        <is>
          <t>H_ren (paper)</t>
        </is>
      </c>
      <c r="B4" s="4" t="inlineStr">
        <is>
          <t>Hadamard state, not tested here</t>
        </is>
      </c>
      <c r="C4" s="4" t="inlineStr">
        <is>
          <t>FAILS (W0 ≠ 0)</t>
        </is>
      </c>
      <c r="D4" s="4" t="inlineStr">
        <is>
          <t>FAILS (non-local constant at coincidence)</t>
        </is>
      </c>
      <c r="E4" s="4" t="inlineStr">
        <is>
          <t>W0 = 0.905 at m²=1</t>
        </is>
      </c>
      <c r="F4" s="4" t="inlineStr">
        <is>
          <t>Original kernel</t>
        </is>
      </c>
    </row>
    <row r="5">
      <c r="A5" s="4" t="inlineStr">
        <is>
          <t>H_ren − ⟨φ²⟩ (subtraction)</t>
        </is>
      </c>
      <c r="B5" s="4" t="inlineStr">
        <is>
          <t>Mixed sign: +0.0067, +0.0082, −0.079, −0.15 (m² = 0.3, 1, 3, 4)</t>
        </is>
      </c>
      <c r="C5" s="4" t="inlineStr">
        <is>
          <t>Would pass by construction</t>
        </is>
      </c>
      <c r="D5" s="4" t="inlineStr">
        <is>
          <t>Not tested</t>
        </is>
      </c>
      <c r="E5" s="4" t="inlineStr">
        <is>
          <t>Homogeneous-eq residual at μ→0: +0.0040, +0.0032, −0.0203, −0.0300</t>
        </is>
      </c>
      <c r="F5" s="4" t="inlineStr">
        <is>
          <t>REJECTED</t>
        </is>
      </c>
    </row>
    <row r="6">
      <c r="A6" s="4" t="inlineStr">
        <is>
          <t>G_S = (−∇²+m²)⁻¹</t>
        </is>
      </c>
      <c r="B6" s="4" t="inlineStr">
        <is>
          <t>HOLDS: spectral weights &gt; 0; spectral sum = closed form to ~1e-4</t>
        </is>
      </c>
      <c r="C6" s="4" t="inlineStr">
        <is>
          <t>FAILS (1/σ and W0 ≠ 0)</t>
        </is>
      </c>
      <c r="D6" s="4" t="inlineStr">
        <is>
          <t>Not local at coincidence as an inverse</t>
        </is>
      </c>
      <c r="E6" s="4" t="inlineStr">
        <is>
          <t>∫G dV = 1/m² exactly</t>
        </is>
      </c>
      <c r="F6" s="4" t="inlineStr">
        <is>
          <t>Positive; R3 fails</t>
        </is>
      </c>
    </row>
    <row r="7">
      <c r="A7" s="4" t="inlineStr">
        <is>
          <t>K_t = e^{−tL}</t>
        </is>
      </c>
      <c r="B7" s="4" t="inlineStr">
        <is>
          <t>HOLDS by construction</t>
        </is>
      </c>
      <c r="C7" s="4" t="inlineStr">
        <is>
          <t>FAILS (K_t(0) ≠ 0 at finite t)</t>
        </is>
      </c>
      <c r="D7" s="4" t="inlineStr">
        <is>
          <t>HOLDS: a1 = 2 − m², a2 = −1/15 + (2−m²)²/2</t>
        </is>
      </c>
      <c r="E7" s="4" t="inlineStr">
        <is>
          <t>a2 numeric 0.43333 at m²=1 (error ∝ t)</t>
        </is>
      </c>
      <c r="F7" s="4" t="inlineStr">
        <is>
          <t>Passes reworded R3</t>
        </is>
      </c>
    </row>
    <row r="8">
      <c r="A8" s="4" t="inlineStr">
        <is>
          <t>Entropy-weighted L = −∇²+m²+κS</t>
        </is>
      </c>
      <c r="B8" s="4" t="inlineStr">
        <is>
          <t>Trivial on constant background (mass shift)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S_Wald = S_BH constant</t>
        </is>
      </c>
      <c r="F8" s="4" t="inlineStr">
        <is>
          <t>Untested (needs φ̇ ≠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34" customWidth="1" min="3" max="3"/>
  </cols>
  <sheetData>
    <row r="1">
      <c r="A1" s="1" t="inlineStr">
        <is>
          <t>IRFormal1: status summary (de Sitter, constant φ̄, mixing absent)</t>
        </is>
      </c>
    </row>
    <row r="3">
      <c r="A3" s="2" t="inlineStr">
        <is>
          <t>Item</t>
        </is>
      </c>
      <c r="B3" s="2" t="inlineStr">
        <is>
          <t>Result</t>
        </is>
      </c>
      <c r="C3" s="2" t="inlineStr">
        <is>
          <t>Status</t>
        </is>
      </c>
    </row>
    <row r="4">
      <c r="A4" s="4" t="inlineStr">
        <is>
          <t>Dictionary</t>
        </is>
      </c>
      <c r="B4" s="4" t="inlineStr">
        <is>
          <t>f(φ)G^{μν}∂φ∂φ = Horndeski G₅ with G₅ = M_P²F(φ), F′ = f; paper's G₄ label incorrect</t>
        </is>
      </c>
      <c r="C4" s="4" t="inlineStr">
        <is>
          <t>DERIVED</t>
        </is>
      </c>
    </row>
    <row r="5">
      <c r="A5" s="4" t="inlineStr">
        <is>
          <t>Kinetic normalisation</t>
        </is>
      </c>
      <c r="B5" s="4" t="inlineStr">
        <is>
          <t>Z = −6H²M_P²f̄; healthy requires f̄ &lt; 0</t>
        </is>
      </c>
      <c r="C5" s="4" t="inlineStr">
        <is>
          <t>DERIVED</t>
        </is>
      </c>
    </row>
    <row r="6">
      <c r="A6" s="4" t="inlineStr">
        <is>
          <t>Mixing δφ–h</t>
        </is>
      </c>
      <c r="B6" s="4" t="inlineStr">
        <is>
          <t>Zero at quadratic order on this background</t>
        </is>
      </c>
      <c r="C6" s="4" t="inlineStr">
        <is>
          <t>DERIVED</t>
        </is>
      </c>
    </row>
    <row r="7">
      <c r="A7" s="4" t="inlineStr">
        <is>
          <t>V₀, V₁, V₂</t>
        </is>
      </c>
      <c r="B7" s="4" t="inlineStr">
        <is>
          <t>(m²−2)/2; m²(m²−2)/8; m²(m²−2)(m²+2)/96</t>
        </is>
      </c>
      <c r="C7" s="4" t="inlineStr">
        <is>
          <t>DERIVED, CHECKED</t>
        </is>
      </c>
    </row>
    <row r="8">
      <c r="A8" s="4" t="inlineStr">
        <is>
          <t>W₀</t>
        </is>
      </c>
      <c r="B8" s="4" t="inlineStr">
        <is>
          <t>Closed form; constant fixed by antipodal regularity</t>
        </is>
      </c>
      <c r="C8" s="4" t="inlineStr">
        <is>
          <t>CHECKED (regularity argument analytic)</t>
        </is>
      </c>
    </row>
    <row r="9">
      <c r="A9" s="4" t="inlineStr">
        <is>
          <t>ℓ-dependence</t>
        </is>
      </c>
      <c r="B9" s="4" t="inlineStr">
        <is>
          <t>W_ℓ = W₁ + V₀ ln ℓ²</t>
        </is>
      </c>
      <c r="C9" s="4" t="inlineStr">
        <is>
          <t>DERIVED</t>
        </is>
      </c>
    </row>
    <row r="10">
      <c r="A10" s="4" t="inlineStr">
        <is>
          <t>Wald entropy / horizon damping</t>
        </is>
      </c>
      <c r="B10" s="4" t="inlineStr">
        <is>
          <t>S = S_BH on constant background; damping ≡ 1 (test trivial)</t>
        </is>
      </c>
      <c r="C10" s="4" t="inlineStr">
        <is>
          <t>DERIVED; coefficient for G₅ DEFERRED</t>
        </is>
      </c>
    </row>
    <row r="11">
      <c r="A11" s="4" t="inlineStr">
        <is>
          <t>R3 (original)</t>
        </is>
      </c>
      <c r="B11" s="4" t="inlineStr">
        <is>
          <t>Fails: W₀ ≠ 0</t>
        </is>
      </c>
      <c r="C11" s="4" t="inlineStr">
        <is>
          <t>CHECKED</t>
        </is>
      </c>
    </row>
    <row r="12">
      <c r="A12" s="4" t="inlineStr">
        <is>
          <t>R3 (reworded: coincidence local)</t>
        </is>
      </c>
      <c r="B12" s="4" t="inlineStr">
        <is>
          <t>Heat kernel passes; G_S does not</t>
        </is>
      </c>
      <c r="C12" s="4" t="inlineStr">
        <is>
          <t>CHECKED</t>
        </is>
      </c>
    </row>
    <row r="13">
      <c r="A13" s="4" t="inlineStr">
        <is>
          <t>Heat-kernel time t</t>
        </is>
      </c>
      <c r="B13" s="4" t="inlineStr">
        <is>
          <t>Unfixed</t>
        </is>
      </c>
      <c r="C13" s="4" t="inlineStr">
        <is>
          <t>OPEN</t>
        </is>
      </c>
    </row>
    <row r="14">
      <c r="A14" s="4" t="inlineStr">
        <is>
          <t>Lorentzian R2</t>
        </is>
      </c>
      <c r="B14" s="4" t="inlineStr">
        <is>
          <t>Not established for K_t or G_S</t>
        </is>
      </c>
      <c r="C14" s="4" t="inlineStr">
        <is>
          <t>OPEN</t>
        </is>
      </c>
    </row>
    <row r="15">
      <c r="A15" s="4" t="inlineStr">
        <is>
          <t>Time-dependent background, horizon test</t>
        </is>
      </c>
      <c r="B15" s="4" t="inlineStr">
        <is>
          <t>Outside scope of IRFormal1</t>
        </is>
      </c>
      <c r="C15" s="4" t="inlineStr">
        <is>
          <t>DEFERRED to paper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2026-10-16T04:14:48Z</dcterms:created>
  <dcterms:modified xmlns:dcterms="http://purl.org/dc/terms/" xmlns:xsi="http://www.w3.org/2001/XMLSchema-instance" xsi:type="dcterms:W3CDTF">2026-10-16T04:14:48Z</dcterms:modified>
</cp:coreProperties>
</file>