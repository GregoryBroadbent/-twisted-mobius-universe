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_n check" sheetId="1" state="visible" r:id="rId1"/>
    <sheet xmlns:r="http://schemas.openxmlformats.org/officeDocument/2006/relationships" name="W0 chec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Hadamard coefficients V_n on de Sitter (H = 1): symbolic recursion vs numerical fit</t>
        </is>
      </c>
    </row>
    <row r="3">
      <c r="A3" s="2" t="inlineStr">
        <is>
          <t>m²/H²</t>
        </is>
      </c>
      <c r="B3" s="2" t="inlineStr">
        <is>
          <t>V0 predicted</t>
        </is>
      </c>
      <c r="C3" s="2" t="inlineStr">
        <is>
          <t>V0 numeric</t>
        </is>
      </c>
      <c r="D3" s="2" t="inlineStr">
        <is>
          <t>V0 diff</t>
        </is>
      </c>
      <c r="E3" s="2" t="inlineStr">
        <is>
          <t>V1 predicted</t>
        </is>
      </c>
      <c r="F3" s="2" t="inlineStr">
        <is>
          <t>V1 numeric</t>
        </is>
      </c>
      <c r="G3" s="2" t="inlineStr">
        <is>
          <t>V1 diff</t>
        </is>
      </c>
      <c r="H3" s="2" t="inlineStr">
        <is>
          <t>V2 predicted</t>
        </is>
      </c>
      <c r="I3" s="2" t="inlineStr">
        <is>
          <t>V2 numeric</t>
        </is>
      </c>
      <c r="J3" s="2" t="inlineStr">
        <is>
          <t>V2 diff</t>
        </is>
      </c>
    </row>
    <row r="4">
      <c r="A4" t="n">
        <v>0.3</v>
      </c>
      <c r="B4" s="3">
        <f>(A4-2)/2</f>
        <v/>
      </c>
      <c r="C4" s="3" t="n">
        <v>-0.85</v>
      </c>
      <c r="D4" s="3">
        <f>ABS(C4-B4)</f>
        <v/>
      </c>
      <c r="E4" s="3">
        <f>A4*(A4-2)/8</f>
        <v/>
      </c>
      <c r="F4" s="3" t="n">
        <v>-0.06375</v>
      </c>
      <c r="G4" s="3">
        <f>ABS(F4-E4)</f>
        <v/>
      </c>
      <c r="H4" s="3">
        <f>A4*(A4-2)*(A4+2)/96</f>
        <v/>
      </c>
      <c r="I4" s="3" t="n">
        <v>-0.0122187500006</v>
      </c>
      <c r="J4" s="3">
        <f>ABS(I4-H4)</f>
        <v/>
      </c>
    </row>
    <row r="5">
      <c r="A5" t="n">
        <v>1</v>
      </c>
      <c r="B5" s="3">
        <f>(A5-2)/2</f>
        <v/>
      </c>
      <c r="C5" s="3" t="n">
        <v>-0.5</v>
      </c>
      <c r="D5" s="3">
        <f>ABS(C5-B5)</f>
        <v/>
      </c>
      <c r="E5" s="3">
        <f>A5*(A5-2)/8</f>
        <v/>
      </c>
      <c r="F5" s="3" t="n">
        <v>-0.125</v>
      </c>
      <c r="G5" s="3">
        <f>ABS(F5-E5)</f>
        <v/>
      </c>
      <c r="H5" s="3">
        <f>A5*(A5-2)*(A5+2)/96</f>
        <v/>
      </c>
      <c r="I5" s="3" t="n">
        <v>-0.0312499999924</v>
      </c>
      <c r="J5" s="3">
        <f>ABS(I5-H5)</f>
        <v/>
      </c>
    </row>
    <row r="6">
      <c r="A6" t="n">
        <v>3</v>
      </c>
      <c r="B6" s="3">
        <f>(A6-2)/2</f>
        <v/>
      </c>
      <c r="C6" s="3" t="n">
        <v>0.5</v>
      </c>
      <c r="D6" s="3">
        <f>ABS(C6-B6)</f>
        <v/>
      </c>
      <c r="E6" s="3">
        <f>A6*(A6-2)/8</f>
        <v/>
      </c>
      <c r="F6" s="3" t="n">
        <v>0.375</v>
      </c>
      <c r="G6" s="3">
        <f>ABS(F6-E6)</f>
        <v/>
      </c>
      <c r="H6" s="3">
        <f>A6*(A6-2)*(A6+2)/96</f>
        <v/>
      </c>
      <c r="I6" s="3" t="n">
        <v>0.156249999899</v>
      </c>
      <c r="J6" s="3">
        <f>ABS(I6-H6)</f>
        <v/>
      </c>
    </row>
    <row r="7">
      <c r="A7" t="n">
        <v>4</v>
      </c>
      <c r="B7" s="3">
        <f>(A7-2)/2</f>
        <v/>
      </c>
      <c r="C7" s="3" t="n">
        <v>1</v>
      </c>
      <c r="D7" s="3">
        <f>ABS(C7-B7)</f>
        <v/>
      </c>
      <c r="E7" s="3">
        <f>A7*(A7-2)/8</f>
        <v/>
      </c>
      <c r="F7" s="3" t="n">
        <v>1</v>
      </c>
      <c r="G7" s="3">
        <f>ABS(F7-E7)</f>
        <v/>
      </c>
      <c r="H7" s="3">
        <f>A7*(A7-2)*(A7+2)/96</f>
        <v/>
      </c>
      <c r="I7" s="3" t="n">
        <v>0.499999999611</v>
      </c>
      <c r="J7" s="3">
        <f>ABS(I7-H7)</f>
        <v/>
      </c>
    </row>
    <row r="9" ht="30" customHeight="1">
      <c r="A9" s="4" t="inlineStr">
        <is>
          <t>Predicted columns are formulas in m². Numeric values are from check_Vn.py (120-digit least-squares fit, μ in [0.02, 0.14]). Differences grow with n: truncation of the fit.</t>
        </is>
      </c>
    </row>
    <row r="10"/>
  </sheetData>
  <mergeCells count="1">
    <mergeCell ref="A9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W0 on de Sitter (H = 1): numerical value vs fitted closed form</t>
        </is>
      </c>
    </row>
    <row r="3">
      <c r="A3" s="2" t="inlineStr">
        <is>
          <t>m²/H²</t>
        </is>
      </c>
      <c r="B3" s="2" t="inlineStr">
        <is>
          <t>h+</t>
        </is>
      </c>
      <c r="C3" s="2" t="inlineStr">
        <is>
          <t>h-</t>
        </is>
      </c>
      <c r="D3" s="2" t="inlineStr">
        <is>
          <t>ψ(h+)+ψ(h-)</t>
        </is>
      </c>
      <c r="E3" s="2" t="inlineStr">
        <is>
          <t>W0 numeric</t>
        </is>
      </c>
      <c r="F3" s="2" t="inlineStr">
        <is>
          <t>W0 closed form</t>
        </is>
      </c>
      <c r="G3" s="2" t="inlineStr">
        <is>
          <t>diff</t>
        </is>
      </c>
    </row>
    <row r="4">
      <c r="A4" t="n">
        <v>0.3</v>
      </c>
      <c r="B4" t="inlineStr">
        <is>
          <t>3/2 + ν</t>
        </is>
      </c>
      <c r="C4" t="inlineStr">
        <is>
          <t>3/2 − ν</t>
        </is>
      </c>
      <c r="D4" s="3" t="n">
        <v>-9.192358738774892</v>
      </c>
      <c r="E4" s="3" t="n">
        <v>7.93808006776867</v>
      </c>
      <c r="F4" s="3" t="n">
        <v>7.938080067768674</v>
      </c>
      <c r="G4" s="3">
        <f>ABS(F4-E4)</f>
        <v/>
      </c>
    </row>
    <row r="5">
      <c r="A5" t="n">
        <v>0.5</v>
      </c>
      <c r="B5" t="inlineStr">
        <is>
          <t>3/2 + ν</t>
        </is>
      </c>
      <c r="C5" t="inlineStr">
        <is>
          <t>3/2 − ν</t>
        </is>
      </c>
      <c r="D5" s="3" t="n">
        <v>-5.113878283030708</v>
      </c>
      <c r="E5" s="3" t="n">
        <v>3.90611226700736</v>
      </c>
      <c r="F5" s="3" t="n">
        <v>3.906112267007357</v>
      </c>
      <c r="G5" s="3">
        <f>ABS(F5-E5)</f>
        <v/>
      </c>
    </row>
    <row r="6">
      <c r="A6" t="n">
        <v>1</v>
      </c>
      <c r="B6" t="inlineStr">
        <is>
          <t>3/2 + ν</t>
        </is>
      </c>
      <c r="C6" t="inlineStr">
        <is>
          <t>3/2 − ν</t>
        </is>
      </c>
      <c r="D6" s="3" t="n">
        <v>-1.938623390328882</v>
      </c>
      <c r="E6" s="3" t="n">
        <v>0.905336287209548</v>
      </c>
      <c r="F6" s="3" t="n">
        <v>0.9053362872095476</v>
      </c>
      <c r="G6" s="3">
        <f>ABS(F6-E6)</f>
        <v/>
      </c>
    </row>
    <row r="7">
      <c r="A7" t="n">
        <v>2</v>
      </c>
      <c r="B7" t="inlineStr">
        <is>
          <t>3/2 + ν</t>
        </is>
      </c>
      <c r="C7" t="inlineStr">
        <is>
          <t>3/2 − ν</t>
        </is>
      </c>
      <c r="D7" s="3" t="n">
        <v>-0.1544313298030657</v>
      </c>
      <c r="E7" s="3" t="n">
        <v>-0.333333333333333</v>
      </c>
      <c r="F7" s="3" t="n">
        <v>-0.3333333333333333</v>
      </c>
      <c r="G7" s="3">
        <f>ABS(F7-E7)</f>
        <v/>
      </c>
    </row>
    <row r="8">
      <c r="A8" t="n">
        <v>3</v>
      </c>
      <c r="B8" t="inlineStr">
        <is>
          <t>3/2 + i·√(m²−9/4)</t>
        </is>
      </c>
      <c r="C8" t="inlineStr">
        <is>
          <t>3/2 − i·√(m²−9/4)</t>
        </is>
      </c>
      <c r="D8" s="3" t="n">
        <v>0.5701468825406071</v>
      </c>
      <c r="E8" s="3" t="n">
        <v>-0.317617817441</v>
      </c>
      <c r="F8" s="3" t="n">
        <v>-0.3176178174414696</v>
      </c>
      <c r="G8" s="3">
        <f>ABS(F8-E8)</f>
        <v/>
      </c>
    </row>
    <row r="9">
      <c r="A9" t="n">
        <v>4</v>
      </c>
      <c r="B9" t="inlineStr">
        <is>
          <t>3/2 + i·√(m²−9/4)</t>
        </is>
      </c>
      <c r="C9" t="inlineStr">
        <is>
          <t>3/2 − i·√(m²−9/4)</t>
        </is>
      </c>
      <c r="D9" s="3" t="n">
        <v>1.005140827044301</v>
      </c>
      <c r="E9" s="3" t="n">
        <v>0.133091642954088</v>
      </c>
      <c r="F9" s="3" t="n">
        <v>0.1330916429540882</v>
      </c>
      <c r="G9" s="3">
        <f>ABS(F9-E9)</f>
        <v/>
      </c>
    </row>
    <row r="11">
      <c r="A11" s="4" t="inlineStr">
        <is>
          <t>W0 closed form: (m²−2)[ (ψ(h₊)+ψ(h₋))/2 + γ_E − ½ ln 2 ] − m²/2 + 2/3, with h± = 3/2 ± √(9/4 − m²). Identified from the numerical fit, not derived; W0 depends on a global constant (see Hadamard recursion).</t>
        </is>
      </c>
    </row>
    <row r="12"/>
    <row r="13"/>
  </sheetData>
  <mergeCells count="1">
    <mergeCell ref="A11:G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40" customWidth="1" min="3" max="3"/>
  </cols>
  <sheetData>
    <row r="1">
      <c r="A1" s="1" t="inlineStr">
        <is>
          <t>IRFormal1: established results (de Sitter, H = 1, constant φ̄, mixing absent)</t>
        </is>
      </c>
    </row>
    <row r="3">
      <c r="A3" s="2" t="inlineStr">
        <is>
          <t>Quantity</t>
        </is>
      </c>
      <c r="B3" s="2" t="inlineStr">
        <is>
          <t>Result</t>
        </is>
      </c>
      <c r="C3" s="2" t="inlineStr">
        <is>
          <t>Status</t>
        </is>
      </c>
    </row>
    <row r="4">
      <c r="A4" s="4" t="inlineStr">
        <is>
          <t>V0</t>
        </is>
      </c>
      <c r="B4" s="4" t="inlineStr">
        <is>
          <t>(m²−2)/2</t>
        </is>
      </c>
      <c r="C4" s="4" t="inlineStr">
        <is>
          <t>Symbolic recursion; matches numerics</t>
        </is>
      </c>
    </row>
    <row r="5">
      <c r="A5" s="4" t="inlineStr">
        <is>
          <t>V1</t>
        </is>
      </c>
      <c r="B5" s="4" t="inlineStr">
        <is>
          <t>m²(m²−2)/8</t>
        </is>
      </c>
      <c r="C5" s="4" t="inlineStr">
        <is>
          <t>Symbolic recursion; matches numerics</t>
        </is>
      </c>
    </row>
    <row r="6">
      <c r="A6" s="4" t="inlineStr">
        <is>
          <t>V2</t>
        </is>
      </c>
      <c r="B6" s="4" t="inlineStr">
        <is>
          <t>m²(m²−2)(m²+2)/96</t>
        </is>
      </c>
      <c r="C6" s="4" t="inlineStr">
        <is>
          <t>Symbolic recursion; matches numerics</t>
        </is>
      </c>
    </row>
    <row r="7">
      <c r="A7" s="4" t="inlineStr">
        <is>
          <t>W0</t>
        </is>
      </c>
      <c r="B7" s="4" t="inlineStr">
        <is>
          <t>Not fixed locally; one free constant W2 (homogeneous solution)</t>
        </is>
      </c>
      <c r="C7" s="4" t="inlineStr">
        <is>
          <t>Global input needed</t>
        </is>
      </c>
    </row>
    <row r="8">
      <c r="A8" s="4" t="inlineStr">
        <is>
          <t>W0 (fitted)</t>
        </is>
      </c>
      <c r="B8" s="4" t="inlineStr">
        <is>
          <t>(m²−2)[(ψ(h₊)+ψ(h₋))/2 + γ_E − ½ ln2] − m²/2 + 2/3</t>
        </is>
      </c>
      <c r="C8" s="4" t="inlineStr">
        <is>
          <t>Fitted, state-dependent; not derived</t>
        </is>
      </c>
    </row>
    <row r="9">
      <c r="A9" s="4" t="inlineStr">
        <is>
          <t>Coincidence W0 ≠ 0</t>
        </is>
      </c>
      <c r="B9" s="4" t="inlineStr">
        <is>
          <t>Generic mass (e.g. W0 ≈ 0.905 at m² = H²)</t>
        </is>
      </c>
      <c r="C9" s="4" t="inlineStr">
        <is>
          <t>Contradicts §3.4 (R3) as written</t>
        </is>
      </c>
    </row>
    <row r="10">
      <c r="A10" s="4" t="inlineStr">
        <is>
          <t>Mixing δφ–h</t>
        </is>
      </c>
      <c r="B10" s="4" t="inlineStr">
        <is>
          <t>Exactly zero at quadratic order on this background</t>
        </is>
      </c>
      <c r="C10" s="4" t="inlineStr">
        <is>
          <t>Holds for constant φ̄ with V′ = 0</t>
        </is>
      </c>
    </row>
    <row r="11">
      <c r="A11" s="4" t="inlineStr">
        <is>
          <t>Kinetic normalisation</t>
        </is>
      </c>
      <c r="B11" s="4" t="inlineStr">
        <is>
          <t>Z = −6H² M_P² f̄; healthy requires f̄ &lt; 0</t>
        </is>
      </c>
      <c r="C11" s="4" t="inlineStr">
        <is>
          <t>Stated sign requirement</t>
        </is>
      </c>
    </row>
    <row r="12">
      <c r="A12" s="4" t="inlineStr">
        <is>
          <t>Dictionary</t>
        </is>
      </c>
      <c r="B12" s="4" t="inlineStr">
        <is>
          <t>f(φ) G^{μν}∂φ∂φ is Horndeski G₅ with G₅ = M_P² F(φ), F′ = f</t>
        </is>
      </c>
      <c r="C12" s="4" t="inlineStr">
        <is>
          <t>Paper's G₄ label is incorrect</t>
        </is>
      </c>
    </row>
    <row r="13">
      <c r="A13" s="4" t="inlineStr">
        <is>
          <t>Horizon / damping check</t>
        </is>
      </c>
      <c r="B13" s="4" t="inlineStr">
        <is>
          <t>Not yet done</t>
        </is>
      </c>
      <c r="C13" s="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2026-10-16T01:49:13Z</dcterms:created>
  <dcterms:modified xmlns:dcterms="http://purl.org/dc/terms/" xmlns:xsi="http://www.w3.org/2001/XMLSchema-instance" xsi:type="dcterms:W3CDTF">2026-10-16T01:49:13Z</dcterms:modified>
</cp:coreProperties>
</file>